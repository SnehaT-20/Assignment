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ms-excel.slicerCache+xml" PartName="/xl/slicerCaches/slicerCache1.xml"/>
  <Override ContentType="application/vnd.ms-excel.slicer+xml" PartName="/xl/slicers/slicer1.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Pivot Table 1" sheetId="2" r:id="rId6"/>
  </sheets>
  <definedNames>
    <definedName hidden="1" localSheetId="0" name="Z_76A6FCE7_F30A_4EFA_B0B3_609DE046BAE1_.wvu.FilterData">Sheet1!$A$1:$I$48</definedName>
    <definedName name="SlicerCache_Table_1_Col_8">#N/A</definedName>
  </definedNames>
  <calcPr/>
  <customWorkbookViews>
    <customWorkbookView activeSheetId="0" maximized="1" windowHeight="0" windowWidth="0" guid="{76A6FCE7-F30A-4EFA-B0B3-609DE046BAE1}" name="Filter 1"/>
  </customWorkbookViews>
  <pivotCaches>
    <pivotCache cacheId="0" r:id="rId7"/>
  </pivotCaches>
  <extLst>
    <ext uri="{46BE6895-7355-4a93-B00E-2C351335B9C9}">
      <x15:slicerCaches>
        <x14:slicerCache r:id="rId8"/>
      </x15:slicerCaches>
    </ext>
  </extLst>
</workbook>
</file>

<file path=xl/sharedStrings.xml><?xml version="1.0" encoding="utf-8"?>
<sst xmlns="http://schemas.openxmlformats.org/spreadsheetml/2006/main" count="328" uniqueCount="87">
  <si>
    <t>Date</t>
  </si>
  <si>
    <t>Supplier</t>
  </si>
  <si>
    <t>Reference</t>
  </si>
  <si>
    <t>Description</t>
  </si>
  <si>
    <t>Tax Inclusive Amount</t>
  </si>
  <si>
    <t>Tax Code</t>
  </si>
  <si>
    <t>Code</t>
  </si>
  <si>
    <t>Account Code</t>
  </si>
  <si>
    <t>Payment Date</t>
  </si>
  <si>
    <t>Uniques</t>
  </si>
  <si>
    <t>XY Solutions</t>
  </si>
  <si>
    <t>S77782</t>
  </si>
  <si>
    <t>Opening Balance</t>
  </si>
  <si>
    <t>A</t>
  </si>
  <si>
    <t>B1</t>
  </si>
  <si>
    <t>BS-500</t>
  </si>
  <si>
    <t>IS Communications</t>
  </si>
  <si>
    <t>Invoice EXP22</t>
  </si>
  <si>
    <t>Internet Service Provider</t>
  </si>
  <si>
    <t>IS-380</t>
  </si>
  <si>
    <t>Newscorp</t>
  </si>
  <si>
    <t>I381119</t>
  </si>
  <si>
    <t>Subscriptions</t>
  </si>
  <si>
    <t>IS-375</t>
  </si>
  <si>
    <t>EAG Brokers</t>
  </si>
  <si>
    <t>Debt Order</t>
  </si>
  <si>
    <t>Insurance</t>
  </si>
  <si>
    <t>IS-340</t>
  </si>
  <si>
    <t>Capital Bank</t>
  </si>
  <si>
    <t>Bank Statement</t>
  </si>
  <si>
    <t>Service Fees</t>
  </si>
  <si>
    <t>IS-315</t>
  </si>
  <si>
    <t>B2</t>
  </si>
  <si>
    <t>IAS Accountants</t>
  </si>
  <si>
    <t>Invoice</t>
  </si>
  <si>
    <t>Bookkeeping</t>
  </si>
  <si>
    <t>IS-305</t>
  </si>
  <si>
    <t>Interflora</t>
  </si>
  <si>
    <t>Cash</t>
  </si>
  <si>
    <t>Flowers</t>
  </si>
  <si>
    <t>PC</t>
  </si>
  <si>
    <t>IS-345</t>
  </si>
  <si>
    <t>QQ International</t>
  </si>
  <si>
    <t>TR6998</t>
  </si>
  <si>
    <t>Parking</t>
  </si>
  <si>
    <t>IS-390</t>
  </si>
  <si>
    <t>Example (Pty) Ltd</t>
  </si>
  <si>
    <t>Transfer</t>
  </si>
  <si>
    <t>Inter Account Transfer</t>
  </si>
  <si>
    <t>E</t>
  </si>
  <si>
    <t>BS-399</t>
  </si>
  <si>
    <t>Payroll</t>
  </si>
  <si>
    <t>Salaries</t>
  </si>
  <si>
    <t>IS-365</t>
  </si>
  <si>
    <t>HP Finance</t>
  </si>
  <si>
    <t>Debit Order</t>
  </si>
  <si>
    <t>Capital repayment</t>
  </si>
  <si>
    <t>BS-700</t>
  </si>
  <si>
    <t>Interest paid</t>
  </si>
  <si>
    <t>IS-500</t>
  </si>
  <si>
    <t>PR Properties</t>
  </si>
  <si>
    <t>Rent</t>
  </si>
  <si>
    <t>IS-350</t>
  </si>
  <si>
    <t>Petty Cash Reimbursement</t>
  </si>
  <si>
    <t>Invoice EXP23</t>
  </si>
  <si>
    <t>Inland Revenue</t>
  </si>
  <si>
    <t>Furniture</t>
  </si>
  <si>
    <t>GF Supplies</t>
  </si>
  <si>
    <t>Training Inc</t>
  </si>
  <si>
    <t>City Lodge</t>
  </si>
  <si>
    <t>Waltons</t>
  </si>
  <si>
    <t>Return</t>
  </si>
  <si>
    <t>Sales Tax</t>
  </si>
  <si>
    <t>BS-600</t>
  </si>
  <si>
    <t>BS-100</t>
  </si>
  <si>
    <t>IN1179</t>
  </si>
  <si>
    <t>Consumables</t>
  </si>
  <si>
    <t>IS-325</t>
  </si>
  <si>
    <t>Invoice EXP24</t>
  </si>
  <si>
    <t>Course</t>
  </si>
  <si>
    <t>IS-385</t>
  </si>
  <si>
    <t>S50037</t>
  </si>
  <si>
    <t>Accommodation</t>
  </si>
  <si>
    <t>Stationery</t>
  </si>
  <si>
    <t>IS-370</t>
  </si>
  <si>
    <t>SUM of Tax Inclusive Amount</t>
  </si>
  <si>
    <t>Grand Total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</si>
</sst>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mm/dd/yyyy"/>
  </numFmts>
  <fonts count="4">
    <font>
      <sz val="10.0"/>
      <color rgb="FF000000"/>
      <name val="Arial"/>
      <scheme val="minor"/>
    </font>
    <font>
      <b/>
      <color theme="1"/>
      <name val="Arial"/>
      <scheme val="minor"/>
    </font>
    <font>
      <color theme="1"/>
      <name val="Arial"/>
      <scheme val="minor"/>
    </font>
    <font>
      <color theme="1"/>
      <name val="Arial"/>
    </font>
  </fonts>
  <fills count="3">
    <fill>
      <patternFill patternType="none"/>
    </fill>
    <fill>
      <patternFill patternType="lightGray"/>
    </fill>
    <fill>
      <patternFill patternType="solid">
        <fgColor rgb="FFDD7E6B"/>
        <bgColor rgb="FFDD7E6B"/>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1" numFmtId="0" xfId="0" applyAlignment="1" applyFont="1">
      <alignment readingOrder="0"/>
    </xf>
    <xf borderId="0" fillId="0" fontId="2" numFmtId="164" xfId="0" applyAlignment="1" applyFont="1" applyNumberFormat="1">
      <alignment readingOrder="0"/>
    </xf>
    <xf borderId="0" fillId="0" fontId="2" numFmtId="0" xfId="0" applyAlignment="1" applyFont="1">
      <alignment readingOrder="0"/>
    </xf>
    <xf borderId="0" fillId="0" fontId="2" numFmtId="165" xfId="0" applyAlignment="1" applyFont="1" applyNumberFormat="1">
      <alignment readingOrder="0"/>
    </xf>
    <xf borderId="0" fillId="0" fontId="2" numFmtId="0" xfId="0" applyFont="1"/>
    <xf borderId="0" fillId="0" fontId="3" numFmtId="164" xfId="0" applyAlignment="1" applyFont="1" applyNumberFormat="1">
      <alignment horizontal="right" vertical="bottom"/>
    </xf>
    <xf borderId="0" fillId="0" fontId="3" numFmtId="0" xfId="0" applyAlignment="1" applyFont="1">
      <alignment vertical="bottom"/>
    </xf>
    <xf borderId="0" fillId="0" fontId="3" numFmtId="0" xfId="0" applyAlignment="1" applyFont="1">
      <alignment horizontal="right" vertical="bottom"/>
    </xf>
    <xf borderId="0" fillId="0" fontId="3" numFmtId="0" xfId="0" applyAlignment="1" applyFont="1">
      <alignment readingOrder="0" vertical="bottom"/>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pivotCacheDefinition" Target="pivotCache/pivotCacheDefinition1.xml"/><Relationship Id="rId8"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533400</xdr:colOff>
      <xdr:row>0</xdr:row>
      <xdr:rowOff>190500</xdr:rowOff>
    </xdr:from>
    <xdr:ext cx="2857500" cy="2857500"/>
    <mc:AlternateContent>
      <mc:Choice Requires="sle15">
        <xdr:graphicFrame>
          <xdr:nvGraphicFramePr>
            <xdr:cNvPr id="1" name="Account Code_1"/>
            <xdr:cNvGraphicFramePr/>
          </xdr:nvGraphicFramePr>
          <xdr:xfrm>
            <a:off x="0" y="0"/>
            <a:ext cx="0" cy="0"/>
          </xdr:xfrm>
          <a:graphic>
            <a:graphicData uri="http://schemas.microsoft.com/office/drawing/2010/slicer">
              <x3Unk:slicer name="Account Code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48" sheet="Sheet1"/>
  </cacheSource>
  <cacheFields>
    <cacheField name="Date" numFmtId="164">
      <sharedItems containsSemiMixedTypes="0" containsDate="1" containsString="0">
        <d v="2011-02-14T00:00:00Z"/>
        <d v="2011-03-01T00:00:00Z"/>
        <d v="2011-03-02T00:00:00Z"/>
        <d v="2011-03-05T00:00:00Z"/>
        <d v="2011-03-15T00:00:00Z"/>
        <d v="2011-03-18T00:00:00Z"/>
        <d v="2011-03-20T00:00:00Z"/>
        <d v="2011-03-26T00:00:00Z"/>
        <d v="2011-03-31T00:00:00Z"/>
        <d v="2011-04-01T00:00:00Z"/>
        <d v="2011-04-05T00:00:00Z"/>
        <d v="2011-04-12T00:00:00Z"/>
        <d v="2011-04-15T00:00:00Z"/>
        <d v="2011-04-20T00:00:00Z"/>
        <d v="2011-04-25T00:00:00Z"/>
        <d v="2011-04-26T00:00:00Z"/>
        <d v="2011-04-29T00:00:00Z"/>
        <d v="2011-04-30T00:00:00Z"/>
        <d v="2011-05-01T00:00:00Z"/>
        <d v="2011-05-05T00:00:00Z"/>
        <d v="2011-05-07T00:00:00Z"/>
        <d v="2011-05-15T00:00:00Z"/>
        <d v="2011-05-20T00:00:00Z"/>
        <d v="2011-05-26T00:00:00Z"/>
      </sharedItems>
    </cacheField>
    <cacheField name="Supplier" numFmtId="0">
      <sharedItems>
        <s v="XY Solutions"/>
        <s v="IS Communications"/>
        <s v="Newscorp"/>
        <s v="EAG Brokers"/>
        <s v="Capital Bank"/>
        <s v="IAS Accountants"/>
        <s v="Interflora"/>
        <s v="QQ International"/>
        <s v="Example (Pty) Ltd"/>
        <s v="HP Finance"/>
        <s v="PR Properties"/>
        <s v="Inland Revenue"/>
        <s v="Furniture"/>
        <s v="GF Supplies"/>
        <s v="Training Inc"/>
        <s v="City Lodge"/>
        <s v="Waltons"/>
      </sharedItems>
    </cacheField>
    <cacheField name="Reference" numFmtId="0">
      <sharedItems>
        <s v="S77782"/>
        <s v="Invoice EXP22"/>
        <s v="I381119"/>
        <s v="Debt Order"/>
        <s v="Bank Statement"/>
        <s v="Invoice"/>
        <s v="Cash"/>
        <s v="TR6998"/>
        <s v="Transfer"/>
        <s v="Payroll"/>
        <s v="Debit Order"/>
        <s v="Invoice EXP23"/>
        <s v="Return"/>
        <s v="IN1179"/>
        <s v="Invoice EXP24"/>
        <s v="S50037"/>
      </sharedItems>
    </cacheField>
    <cacheField name="Description" numFmtId="0">
      <sharedItems>
        <s v="Opening Balance"/>
        <s v="Internet Service Provider"/>
        <s v="Subscriptions"/>
        <s v="Insurance"/>
        <s v="Service Fees"/>
        <s v="Bookkeeping"/>
        <s v="Flowers"/>
        <s v="Parking"/>
        <s v="Inter Account Transfer"/>
        <s v="Salaries"/>
        <s v="Capital repayment"/>
        <s v="Interest paid"/>
        <s v="Rent"/>
        <s v="Petty Cash Reimbursement"/>
        <s v="Sales Tax"/>
        <s v="Furniture"/>
        <s v="Consumables"/>
        <s v="Course"/>
        <s v="Accommodation"/>
        <s v="Stationery"/>
      </sharedItems>
    </cacheField>
    <cacheField name="Tax Inclusive Amount" numFmtId="0">
      <sharedItems containsSemiMixedTypes="0" containsString="0" containsNumber="1" containsInteger="1">
        <n v="5000.0"/>
        <n v="179.0"/>
        <n v="478.0"/>
        <n v="340.0"/>
        <n v="50.0"/>
        <n v="35.0"/>
        <n v="1000.0"/>
        <n v="90.0"/>
        <n v="200.0"/>
        <n v="-15000.0"/>
        <n v="15000.0"/>
        <n v="13000.0"/>
        <n v="220.0"/>
        <n v="100.0"/>
        <n v="6400.0"/>
        <n v="0.0"/>
        <n v="-100.0"/>
        <n v="87.0"/>
        <n v="80.0"/>
        <n v="-20000.0"/>
        <n v="20000.0"/>
        <n v="1300.0"/>
        <n v="3000.0"/>
        <n v="41.0"/>
        <n v="563.0"/>
        <n v="982.0"/>
        <n v="23000.0"/>
      </sharedItems>
    </cacheField>
    <cacheField name="Tax Code" numFmtId="0">
      <sharedItems>
        <s v="A"/>
        <s v="E"/>
      </sharedItems>
    </cacheField>
    <cacheField name="Code" numFmtId="0">
      <sharedItems>
        <s v="B1"/>
        <s v="B2"/>
        <s v="PC"/>
      </sharedItems>
    </cacheField>
    <cacheField name="Account Code" numFmtId="0">
      <sharedItems>
        <s v="BS-500"/>
        <s v="IS-380"/>
        <s v="IS-375"/>
        <s v="IS-340"/>
        <s v="IS-315"/>
        <s v="IS-305"/>
        <s v="IS-345"/>
        <s v="IS-390"/>
        <s v="BS-399"/>
        <s v="IS-365"/>
        <s v="BS-700"/>
        <s v="IS-500"/>
        <s v="IS-350"/>
        <s v="BS-600"/>
        <s v="BS-100"/>
        <s v="IS-325"/>
        <s v="IS-385"/>
        <s v="IS-370"/>
      </sharedItems>
    </cacheField>
    <cacheField name="Payment Date" numFmtId="164">
      <sharedItems containsSemiMixedTypes="0" containsDate="1" containsString="0">
        <d v="2011-03-02T00:00:00Z"/>
        <d v="2011-03-31T00:00:00Z"/>
        <d v="2011-04-01T00:00:00Z"/>
        <d v="2011-03-05T00:00:00Z"/>
        <d v="2011-03-15T00:00:00Z"/>
        <d v="2011-04-02T00:00:00Z"/>
        <d v="2011-03-18T00:00:00Z"/>
        <d v="2011-03-20T00:00:00Z"/>
        <d v="2011-03-26T00:00:00Z"/>
        <d v="2011-05-01T00:00:00Z"/>
        <d v="2011-04-05T00:00:00Z"/>
        <d v="2011-04-12T00:00:00Z"/>
        <d v="2011-04-15T00:00:00Z"/>
        <d v="2011-05-03T00:00:00Z"/>
        <d v="2011-04-20T00:00:00Z"/>
        <d v="2011-04-25T00:00:00Z"/>
        <d v="2011-04-26T00:00:00Z"/>
        <d v="2011-05-26T00:00:00Z"/>
        <d v="2011-05-29T00:00:00Z"/>
        <d v="2011-04-30T00:00:00Z"/>
        <d v="2011-05-31T00:00:00Z"/>
        <d v="2011-05-05T00:00:00Z"/>
        <d v="2011-05-07T00:00:00Z"/>
        <d v="2011-06-06T00:00:00Z"/>
        <d v="2011-05-15T00:00:00Z"/>
        <d v="2011-06-02T00:00:00Z"/>
        <d v="2011-05-20T00:00:00Z"/>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1" cacheId="0" dataCaption="" compact="0" compactData="0">
  <location ref="A3:B21" firstHeaderRow="0" firstDataRow="1" firstDataCol="0" rowPageCount="1" colPageCount="1"/>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Supplier" axis="axisRow" compact="0" outline="0" multipleItemSelectionAllowed="1" showAll="0" sortType="ascending">
      <items>
        <item x="4"/>
        <item x="15"/>
        <item x="3"/>
        <item x="8"/>
        <item x="12"/>
        <item x="13"/>
        <item x="9"/>
        <item x="5"/>
        <item x="11"/>
        <item x="6"/>
        <item x="1"/>
        <item x="2"/>
        <item x="10"/>
        <item x="7"/>
        <item x="14"/>
        <item x="16"/>
        <item x="0"/>
        <item t="default"/>
      </items>
    </pivotField>
    <pivotField name="Reference" compact="0" outline="0" multipleItemSelectionAllowed="1" showAll="0">
      <items>
        <item x="0"/>
        <item x="1"/>
        <item x="2"/>
        <item x="3"/>
        <item x="4"/>
        <item x="5"/>
        <item x="6"/>
        <item x="7"/>
        <item x="8"/>
        <item x="9"/>
        <item x="10"/>
        <item x="11"/>
        <item x="12"/>
        <item x="13"/>
        <item x="14"/>
        <item x="15"/>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Tax Inclusive Amoun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Tax Code" compact="0" outline="0" multipleItemSelectionAllowed="1" showAll="0">
      <items>
        <item x="0"/>
        <item x="1"/>
        <item t="default"/>
      </items>
    </pivotField>
    <pivotField name="Code" compact="0" outline="0" multipleItemSelectionAllowed="1" showAll="0">
      <items>
        <item x="0"/>
        <item x="1"/>
        <item x="2"/>
        <item t="default"/>
      </items>
    </pivotField>
    <pivotField name="Account Code" axis="axisPage" compact="0" outline="0" multipleItemSelectionAllowed="1" showAll="0">
      <items>
        <item x="0"/>
        <item x="1"/>
        <item x="2"/>
        <item x="3"/>
        <item x="4"/>
        <item x="5"/>
        <item x="6"/>
        <item x="7"/>
        <item x="8"/>
        <item x="9"/>
        <item x="10"/>
        <item x="11"/>
        <item x="12"/>
        <item x="13"/>
        <item x="14"/>
        <item x="15"/>
        <item x="16"/>
        <item x="17"/>
        <item t="default"/>
      </items>
    </pivotField>
    <pivotField name="Payment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s>
  <rowFields>
    <field x="1"/>
  </rowFields>
  <pageFields>
    <pageField fld="7"/>
  </pageFields>
  <dataFields>
    <dataField name="SUM of Tax Inclusive Amount" fld="4"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8" sourceName="Account Code">
  <x14:extLst>
    <ext uri="{2F2917AC-EB37-4324-AD4E-5DD8C200BD13}">
      <x15:tableSlicerCache tableId="1" column="8"/>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Account Code_1" cache="SlicerCache_Table_1_Col_8" caption="Account Code" rowHeight="247650"/>
</x14:slicers>
</file>

<file path=xl/tables/table1.xml><?xml version="1.0" encoding="utf-8"?>
<table xmlns="http://schemas.openxmlformats.org/spreadsheetml/2006/main" ref="A1:I48" displayName="Table_1" name="Table_1" id="1">
  <autoFilter ref="$A$1:$I$48"/>
  <tableColumns count="9">
    <tableColumn name="Date" id="1"/>
    <tableColumn name="Supplier" id="2"/>
    <tableColumn name="Reference" id="3"/>
    <tableColumn name="Description" id="4"/>
    <tableColumn name="Tax Inclusive Amount" id="5"/>
    <tableColumn name="Tax Code" id="6"/>
    <tableColumn name="Code" id="7"/>
    <tableColumn name="Account Code" id="8"/>
    <tableColumn name="Payment Date" id="9"/>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 Id="rId3"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0"/>
    <col customWidth="1" min="2" max="3" width="15.25"/>
    <col customWidth="1" min="4" max="4" width="18.13"/>
    <col customWidth="1" min="5" max="5" width="19.25"/>
    <col customWidth="1" min="6" max="6" width="15.0"/>
    <col customWidth="1" min="7" max="8" width="15.63"/>
    <col customWidth="1" min="9" max="9" width="16.0"/>
    <col customWidth="1" min="10" max="10" width="20.63"/>
  </cols>
  <sheetData>
    <row r="1">
      <c r="A1" s="1" t="s">
        <v>0</v>
      </c>
      <c r="B1" s="1" t="s">
        <v>1</v>
      </c>
      <c r="C1" s="1" t="s">
        <v>2</v>
      </c>
      <c r="D1" s="1" t="s">
        <v>3</v>
      </c>
      <c r="E1" s="1" t="s">
        <v>4</v>
      </c>
      <c r="F1" s="1" t="s">
        <v>5</v>
      </c>
      <c r="G1" s="1" t="s">
        <v>6</v>
      </c>
      <c r="H1" s="1" t="s">
        <v>7</v>
      </c>
      <c r="I1" s="1" t="s">
        <v>8</v>
      </c>
      <c r="J1" s="2" t="s">
        <v>9</v>
      </c>
    </row>
    <row r="2">
      <c r="A2" s="3">
        <v>40588.0</v>
      </c>
      <c r="B2" s="4" t="s">
        <v>10</v>
      </c>
      <c r="C2" s="4" t="s">
        <v>11</v>
      </c>
      <c r="D2" s="4" t="s">
        <v>12</v>
      </c>
      <c r="E2" s="4">
        <v>5000.0</v>
      </c>
      <c r="F2" s="4" t="s">
        <v>13</v>
      </c>
      <c r="G2" s="4" t="s">
        <v>14</v>
      </c>
      <c r="H2" s="4" t="s">
        <v>15</v>
      </c>
      <c r="I2" s="3">
        <v>40604.0</v>
      </c>
    </row>
    <row r="3">
      <c r="A3" s="3">
        <v>40603.0</v>
      </c>
      <c r="B3" s="4" t="s">
        <v>16</v>
      </c>
      <c r="C3" s="4" t="s">
        <v>17</v>
      </c>
      <c r="D3" s="4" t="s">
        <v>18</v>
      </c>
      <c r="E3" s="4">
        <v>179.0</v>
      </c>
      <c r="F3" s="4" t="s">
        <v>13</v>
      </c>
      <c r="G3" s="4" t="s">
        <v>14</v>
      </c>
      <c r="H3" s="4" t="s">
        <v>19</v>
      </c>
      <c r="I3" s="5">
        <v>40633.0</v>
      </c>
    </row>
    <row r="4">
      <c r="A4" s="3">
        <v>40604.0</v>
      </c>
      <c r="B4" s="4" t="s">
        <v>20</v>
      </c>
      <c r="C4" s="4" t="s">
        <v>21</v>
      </c>
      <c r="D4" s="4" t="s">
        <v>22</v>
      </c>
      <c r="E4" s="4">
        <v>478.0</v>
      </c>
      <c r="F4" s="4" t="s">
        <v>13</v>
      </c>
      <c r="G4" s="4" t="s">
        <v>14</v>
      </c>
      <c r="H4" s="4" t="s">
        <v>23</v>
      </c>
      <c r="I4" s="5">
        <v>40634.0</v>
      </c>
    </row>
    <row r="5">
      <c r="A5" s="3">
        <v>40607.0</v>
      </c>
      <c r="B5" s="4" t="s">
        <v>24</v>
      </c>
      <c r="C5" s="4" t="s">
        <v>25</v>
      </c>
      <c r="D5" s="4" t="s">
        <v>26</v>
      </c>
      <c r="E5" s="4">
        <v>340.0</v>
      </c>
      <c r="F5" s="4" t="s">
        <v>13</v>
      </c>
      <c r="G5" s="4" t="s">
        <v>14</v>
      </c>
      <c r="H5" s="4" t="s">
        <v>27</v>
      </c>
      <c r="I5" s="5">
        <v>40607.0</v>
      </c>
    </row>
    <row r="6">
      <c r="A6" s="3">
        <v>40617.0</v>
      </c>
      <c r="B6" s="4" t="s">
        <v>28</v>
      </c>
      <c r="C6" s="4" t="s">
        <v>29</v>
      </c>
      <c r="D6" s="4" t="s">
        <v>30</v>
      </c>
      <c r="E6" s="4">
        <v>50.0</v>
      </c>
      <c r="F6" s="4" t="s">
        <v>13</v>
      </c>
      <c r="G6" s="4" t="s">
        <v>14</v>
      </c>
      <c r="H6" s="4" t="s">
        <v>31</v>
      </c>
      <c r="I6" s="3">
        <v>40617.0</v>
      </c>
    </row>
    <row r="7">
      <c r="A7" s="3">
        <v>40617.0</v>
      </c>
      <c r="B7" s="4" t="s">
        <v>28</v>
      </c>
      <c r="C7" s="4" t="s">
        <v>29</v>
      </c>
      <c r="D7" s="4" t="s">
        <v>30</v>
      </c>
      <c r="E7" s="4">
        <v>35.0</v>
      </c>
      <c r="F7" s="4" t="s">
        <v>13</v>
      </c>
      <c r="G7" s="4" t="s">
        <v>32</v>
      </c>
      <c r="H7" s="4" t="s">
        <v>31</v>
      </c>
      <c r="I7" s="3">
        <v>40617.0</v>
      </c>
    </row>
    <row r="8">
      <c r="A8" s="3">
        <v>40617.0</v>
      </c>
      <c r="B8" s="4" t="s">
        <v>33</v>
      </c>
      <c r="C8" s="4" t="s">
        <v>34</v>
      </c>
      <c r="D8" s="4" t="s">
        <v>35</v>
      </c>
      <c r="E8" s="4">
        <v>1000.0</v>
      </c>
      <c r="F8" s="4" t="s">
        <v>13</v>
      </c>
      <c r="G8" s="4" t="s">
        <v>14</v>
      </c>
      <c r="H8" s="4" t="s">
        <v>36</v>
      </c>
      <c r="I8" s="3">
        <v>40635.0</v>
      </c>
    </row>
    <row r="9">
      <c r="A9" s="3">
        <v>40617.0</v>
      </c>
      <c r="B9" s="4" t="s">
        <v>37</v>
      </c>
      <c r="C9" s="4" t="s">
        <v>38</v>
      </c>
      <c r="D9" s="4" t="s">
        <v>39</v>
      </c>
      <c r="E9" s="4">
        <v>90.0</v>
      </c>
      <c r="F9" s="4" t="s">
        <v>13</v>
      </c>
      <c r="G9" s="4" t="s">
        <v>40</v>
      </c>
      <c r="H9" s="4" t="s">
        <v>41</v>
      </c>
      <c r="I9" s="3">
        <v>40617.0</v>
      </c>
    </row>
    <row r="10">
      <c r="A10" s="3">
        <v>40620.0</v>
      </c>
      <c r="B10" s="4" t="s">
        <v>42</v>
      </c>
      <c r="C10" s="4" t="s">
        <v>43</v>
      </c>
      <c r="D10" s="4" t="s">
        <v>44</v>
      </c>
      <c r="E10" s="4">
        <v>200.0</v>
      </c>
      <c r="F10" s="4" t="s">
        <v>13</v>
      </c>
      <c r="G10" s="4" t="s">
        <v>14</v>
      </c>
      <c r="H10" s="4" t="s">
        <v>45</v>
      </c>
      <c r="I10" s="3">
        <v>40620.0</v>
      </c>
      <c r="J10" s="6" t="str">
        <f t="array" ref="J10:J26">UNIQUE(B2:B48)</f>
        <v>XY Solutions</v>
      </c>
    </row>
    <row r="11">
      <c r="A11" s="3">
        <v>40622.0</v>
      </c>
      <c r="B11" s="4" t="s">
        <v>46</v>
      </c>
      <c r="C11" s="4" t="s">
        <v>47</v>
      </c>
      <c r="D11" s="4" t="s">
        <v>48</v>
      </c>
      <c r="E11" s="4">
        <v>-15000.0</v>
      </c>
      <c r="F11" s="4" t="s">
        <v>49</v>
      </c>
      <c r="G11" s="4" t="s">
        <v>32</v>
      </c>
      <c r="H11" s="4" t="s">
        <v>50</v>
      </c>
      <c r="I11" s="3">
        <v>40622.0</v>
      </c>
      <c r="J11" s="6" t="s">
        <v>16</v>
      </c>
    </row>
    <row r="12">
      <c r="A12" s="3">
        <v>40622.0</v>
      </c>
      <c r="B12" s="4" t="s">
        <v>46</v>
      </c>
      <c r="C12" s="4" t="s">
        <v>47</v>
      </c>
      <c r="D12" s="4" t="s">
        <v>48</v>
      </c>
      <c r="E12" s="4">
        <v>15000.0</v>
      </c>
      <c r="F12" s="4" t="s">
        <v>49</v>
      </c>
      <c r="G12" s="4" t="s">
        <v>14</v>
      </c>
      <c r="H12" s="4" t="s">
        <v>50</v>
      </c>
      <c r="I12" s="3">
        <v>40622.0</v>
      </c>
      <c r="J12" s="6" t="s">
        <v>20</v>
      </c>
    </row>
    <row r="13">
      <c r="A13" s="3">
        <v>40628.0</v>
      </c>
      <c r="B13" s="4" t="s">
        <v>46</v>
      </c>
      <c r="C13" s="4" t="s">
        <v>51</v>
      </c>
      <c r="D13" s="4" t="s">
        <v>52</v>
      </c>
      <c r="E13" s="4">
        <v>13000.0</v>
      </c>
      <c r="F13" s="4" t="s">
        <v>49</v>
      </c>
      <c r="G13" s="4" t="s">
        <v>32</v>
      </c>
      <c r="H13" s="4" t="s">
        <v>53</v>
      </c>
      <c r="I13" s="3">
        <v>40628.0</v>
      </c>
      <c r="J13" s="6" t="s">
        <v>24</v>
      </c>
    </row>
    <row r="14">
      <c r="A14" s="3">
        <v>40628.0</v>
      </c>
      <c r="B14" s="4" t="s">
        <v>54</v>
      </c>
      <c r="C14" s="4" t="s">
        <v>55</v>
      </c>
      <c r="D14" s="4" t="s">
        <v>56</v>
      </c>
      <c r="E14" s="4">
        <v>220.0</v>
      </c>
      <c r="F14" s="4" t="s">
        <v>49</v>
      </c>
      <c r="G14" s="4" t="s">
        <v>14</v>
      </c>
      <c r="H14" s="4" t="s">
        <v>57</v>
      </c>
      <c r="I14" s="3">
        <v>40628.0</v>
      </c>
      <c r="J14" s="6" t="s">
        <v>28</v>
      </c>
    </row>
    <row r="15">
      <c r="A15" s="3">
        <v>40628.0</v>
      </c>
      <c r="B15" s="4" t="s">
        <v>54</v>
      </c>
      <c r="C15" s="4" t="s">
        <v>55</v>
      </c>
      <c r="D15" s="4" t="s">
        <v>58</v>
      </c>
      <c r="E15" s="4">
        <v>100.0</v>
      </c>
      <c r="F15" s="4" t="s">
        <v>49</v>
      </c>
      <c r="G15" s="4" t="s">
        <v>14</v>
      </c>
      <c r="H15" s="4" t="s">
        <v>59</v>
      </c>
      <c r="I15" s="3">
        <v>40628.0</v>
      </c>
      <c r="J15" s="6" t="s">
        <v>33</v>
      </c>
    </row>
    <row r="16">
      <c r="A16" s="3">
        <v>40628.0</v>
      </c>
      <c r="B16" s="4" t="s">
        <v>60</v>
      </c>
      <c r="C16" s="4" t="s">
        <v>55</v>
      </c>
      <c r="D16" s="4" t="s">
        <v>61</v>
      </c>
      <c r="E16" s="4">
        <v>6400.0</v>
      </c>
      <c r="F16" s="4" t="s">
        <v>13</v>
      </c>
      <c r="G16" s="4" t="s">
        <v>14</v>
      </c>
      <c r="H16" s="4" t="s">
        <v>62</v>
      </c>
      <c r="I16" s="3">
        <v>40628.0</v>
      </c>
      <c r="J16" s="6" t="s">
        <v>37</v>
      </c>
    </row>
    <row r="17">
      <c r="A17" s="3">
        <v>40633.0</v>
      </c>
      <c r="B17" s="4" t="s">
        <v>46</v>
      </c>
      <c r="C17" s="4" t="s">
        <v>29</v>
      </c>
      <c r="D17" s="4" t="s">
        <v>63</v>
      </c>
      <c r="E17" s="4">
        <v>0.0</v>
      </c>
      <c r="F17" s="4" t="s">
        <v>49</v>
      </c>
      <c r="G17" s="4" t="s">
        <v>14</v>
      </c>
      <c r="H17" s="4" t="s">
        <v>50</v>
      </c>
      <c r="I17" s="3">
        <v>40633.0</v>
      </c>
      <c r="J17" s="6" t="s">
        <v>42</v>
      </c>
    </row>
    <row r="18">
      <c r="A18" s="3">
        <v>40633.0</v>
      </c>
      <c r="B18" s="4" t="s">
        <v>46</v>
      </c>
      <c r="C18" s="4" t="s">
        <v>29</v>
      </c>
      <c r="D18" s="4" t="s">
        <v>63</v>
      </c>
      <c r="E18" s="4">
        <v>-100.0</v>
      </c>
      <c r="F18" s="4" t="s">
        <v>49</v>
      </c>
      <c r="G18" s="4" t="s">
        <v>40</v>
      </c>
      <c r="H18" s="4" t="s">
        <v>50</v>
      </c>
      <c r="I18" s="3">
        <v>40633.0</v>
      </c>
      <c r="J18" s="6" t="s">
        <v>46</v>
      </c>
    </row>
    <row r="19">
      <c r="A19" s="3">
        <v>40634.0</v>
      </c>
      <c r="B19" s="4" t="s">
        <v>16</v>
      </c>
      <c r="C19" s="4" t="s">
        <v>64</v>
      </c>
      <c r="D19" s="4" t="s">
        <v>18</v>
      </c>
      <c r="E19" s="4">
        <v>179.0</v>
      </c>
      <c r="F19" s="4" t="s">
        <v>13</v>
      </c>
      <c r="G19" s="4" t="s">
        <v>14</v>
      </c>
      <c r="H19" s="4" t="s">
        <v>19</v>
      </c>
      <c r="I19" s="5">
        <v>40664.0</v>
      </c>
      <c r="J19" s="6" t="s">
        <v>54</v>
      </c>
    </row>
    <row r="20">
      <c r="A20" s="3">
        <v>40638.0</v>
      </c>
      <c r="B20" s="4" t="s">
        <v>24</v>
      </c>
      <c r="C20" s="4" t="s">
        <v>55</v>
      </c>
      <c r="D20" s="4" t="s">
        <v>26</v>
      </c>
      <c r="E20" s="4">
        <v>340.0</v>
      </c>
      <c r="F20" s="4" t="s">
        <v>13</v>
      </c>
      <c r="G20" s="4" t="s">
        <v>14</v>
      </c>
      <c r="H20" s="4" t="s">
        <v>27</v>
      </c>
      <c r="I20" s="5">
        <v>40638.0</v>
      </c>
      <c r="J20" s="6" t="s">
        <v>60</v>
      </c>
    </row>
    <row r="21">
      <c r="A21" s="3">
        <v>40645.0</v>
      </c>
      <c r="B21" s="4" t="s">
        <v>37</v>
      </c>
      <c r="C21" s="4" t="s">
        <v>38</v>
      </c>
      <c r="D21" s="4" t="s">
        <v>39</v>
      </c>
      <c r="E21" s="4">
        <v>87.0</v>
      </c>
      <c r="F21" s="4" t="s">
        <v>13</v>
      </c>
      <c r="G21" s="4" t="s">
        <v>40</v>
      </c>
      <c r="H21" s="4" t="s">
        <v>41</v>
      </c>
      <c r="I21" s="3">
        <v>40645.0</v>
      </c>
      <c r="J21" s="6" t="s">
        <v>65</v>
      </c>
    </row>
    <row r="22">
      <c r="A22" s="7">
        <v>40648.0</v>
      </c>
      <c r="B22" s="8" t="s">
        <v>28</v>
      </c>
      <c r="C22" s="8" t="s">
        <v>29</v>
      </c>
      <c r="D22" s="8" t="s">
        <v>30</v>
      </c>
      <c r="E22" s="9">
        <v>80.0</v>
      </c>
      <c r="F22" s="8" t="s">
        <v>13</v>
      </c>
      <c r="G22" s="10" t="s">
        <v>14</v>
      </c>
      <c r="H22" s="8" t="s">
        <v>31</v>
      </c>
      <c r="I22" s="7">
        <v>40648.0</v>
      </c>
      <c r="J22" s="6" t="s">
        <v>66</v>
      </c>
    </row>
    <row r="23">
      <c r="A23" s="3">
        <v>40648.0</v>
      </c>
      <c r="B23" s="4" t="s">
        <v>28</v>
      </c>
      <c r="C23" s="4" t="s">
        <v>29</v>
      </c>
      <c r="D23" s="4" t="s">
        <v>30</v>
      </c>
      <c r="E23" s="4">
        <v>35.0</v>
      </c>
      <c r="F23" s="4" t="s">
        <v>13</v>
      </c>
      <c r="G23" s="4" t="s">
        <v>32</v>
      </c>
      <c r="H23" s="4" t="s">
        <v>31</v>
      </c>
      <c r="I23" s="3">
        <v>40648.0</v>
      </c>
      <c r="J23" s="6" t="s">
        <v>67</v>
      </c>
    </row>
    <row r="24">
      <c r="A24" s="3">
        <v>40648.0</v>
      </c>
      <c r="B24" s="4" t="s">
        <v>33</v>
      </c>
      <c r="C24" s="4" t="s">
        <v>34</v>
      </c>
      <c r="D24" s="4" t="s">
        <v>35</v>
      </c>
      <c r="E24" s="4">
        <v>1000.0</v>
      </c>
      <c r="F24" s="4" t="s">
        <v>13</v>
      </c>
      <c r="G24" s="4" t="s">
        <v>14</v>
      </c>
      <c r="H24" s="4" t="s">
        <v>36</v>
      </c>
      <c r="I24" s="3">
        <v>40666.0</v>
      </c>
      <c r="J24" s="6" t="s">
        <v>68</v>
      </c>
    </row>
    <row r="25">
      <c r="A25" s="3">
        <v>40653.0</v>
      </c>
      <c r="B25" s="4" t="s">
        <v>46</v>
      </c>
      <c r="C25" s="4" t="s">
        <v>47</v>
      </c>
      <c r="D25" s="4" t="s">
        <v>48</v>
      </c>
      <c r="E25" s="4">
        <v>-20000.0</v>
      </c>
      <c r="F25" s="4" t="s">
        <v>49</v>
      </c>
      <c r="G25" s="4" t="s">
        <v>32</v>
      </c>
      <c r="H25" s="4" t="s">
        <v>50</v>
      </c>
      <c r="I25" s="3">
        <v>40653.0</v>
      </c>
      <c r="J25" s="6" t="s">
        <v>69</v>
      </c>
    </row>
    <row r="26">
      <c r="A26" s="3">
        <v>40653.0</v>
      </c>
      <c r="B26" s="4" t="s">
        <v>46</v>
      </c>
      <c r="C26" s="4" t="s">
        <v>47</v>
      </c>
      <c r="D26" s="4" t="s">
        <v>48</v>
      </c>
      <c r="E26" s="4">
        <v>20000.0</v>
      </c>
      <c r="F26" s="4" t="s">
        <v>49</v>
      </c>
      <c r="G26" s="4" t="s">
        <v>14</v>
      </c>
      <c r="H26" s="4" t="s">
        <v>50</v>
      </c>
      <c r="I26" s="3">
        <v>40653.0</v>
      </c>
      <c r="J26" s="6" t="s">
        <v>70</v>
      </c>
    </row>
    <row r="27">
      <c r="A27" s="3">
        <v>40658.0</v>
      </c>
      <c r="B27" s="4" t="s">
        <v>65</v>
      </c>
      <c r="C27" s="4" t="s">
        <v>71</v>
      </c>
      <c r="D27" s="4" t="s">
        <v>72</v>
      </c>
      <c r="E27" s="4">
        <v>1300.0</v>
      </c>
      <c r="F27" s="4" t="s">
        <v>49</v>
      </c>
      <c r="G27" s="4" t="s">
        <v>14</v>
      </c>
      <c r="H27" s="4" t="s">
        <v>73</v>
      </c>
      <c r="I27" s="3">
        <v>40658.0</v>
      </c>
    </row>
    <row r="28">
      <c r="A28" s="3">
        <v>40659.0</v>
      </c>
      <c r="B28" s="4" t="s">
        <v>46</v>
      </c>
      <c r="C28" s="4" t="s">
        <v>51</v>
      </c>
      <c r="D28" s="4" t="s">
        <v>52</v>
      </c>
      <c r="E28" s="4">
        <v>20000.0</v>
      </c>
      <c r="F28" s="4" t="s">
        <v>49</v>
      </c>
      <c r="G28" s="4" t="s">
        <v>32</v>
      </c>
      <c r="H28" s="4" t="s">
        <v>53</v>
      </c>
      <c r="I28" s="3">
        <v>40659.0</v>
      </c>
    </row>
    <row r="29">
      <c r="A29" s="3">
        <v>40659.0</v>
      </c>
      <c r="B29" s="4" t="s">
        <v>66</v>
      </c>
      <c r="C29" s="4" t="s">
        <v>34</v>
      </c>
      <c r="D29" s="4" t="s">
        <v>66</v>
      </c>
      <c r="E29" s="4">
        <v>3000.0</v>
      </c>
      <c r="F29" s="4" t="s">
        <v>13</v>
      </c>
      <c r="G29" s="4" t="s">
        <v>14</v>
      </c>
      <c r="H29" s="4" t="s">
        <v>74</v>
      </c>
      <c r="I29" s="3">
        <v>40689.0</v>
      </c>
    </row>
    <row r="30">
      <c r="A30" s="3">
        <v>40659.0</v>
      </c>
      <c r="B30" s="4" t="s">
        <v>54</v>
      </c>
      <c r="C30" s="4" t="s">
        <v>55</v>
      </c>
      <c r="D30" s="4" t="s">
        <v>56</v>
      </c>
      <c r="E30" s="4">
        <v>220.0</v>
      </c>
      <c r="F30" s="4" t="s">
        <v>49</v>
      </c>
      <c r="G30" s="4" t="s">
        <v>14</v>
      </c>
      <c r="H30" s="4" t="s">
        <v>57</v>
      </c>
      <c r="I30" s="3">
        <v>40659.0</v>
      </c>
    </row>
    <row r="31">
      <c r="A31" s="3">
        <v>40662.0</v>
      </c>
      <c r="B31" s="4" t="s">
        <v>54</v>
      </c>
      <c r="C31" s="4" t="s">
        <v>55</v>
      </c>
      <c r="D31" s="4" t="s">
        <v>58</v>
      </c>
      <c r="E31" s="4">
        <v>100.0</v>
      </c>
      <c r="F31" s="4" t="s">
        <v>49</v>
      </c>
      <c r="G31" s="4" t="s">
        <v>14</v>
      </c>
      <c r="H31" s="4" t="s">
        <v>59</v>
      </c>
      <c r="I31" s="3">
        <v>40659.0</v>
      </c>
    </row>
    <row r="32">
      <c r="A32" s="3">
        <v>40659.0</v>
      </c>
      <c r="B32" s="4" t="s">
        <v>60</v>
      </c>
      <c r="C32" s="4" t="s">
        <v>55</v>
      </c>
      <c r="D32" s="4" t="s">
        <v>61</v>
      </c>
      <c r="E32" s="4">
        <v>6400.0</v>
      </c>
      <c r="F32" s="4" t="s">
        <v>13</v>
      </c>
      <c r="G32" s="4" t="s">
        <v>14</v>
      </c>
      <c r="H32" s="4" t="s">
        <v>62</v>
      </c>
      <c r="I32" s="3">
        <v>40659.0</v>
      </c>
    </row>
    <row r="33">
      <c r="A33" s="3">
        <v>40662.0</v>
      </c>
      <c r="B33" s="4" t="s">
        <v>67</v>
      </c>
      <c r="C33" s="4" t="s">
        <v>75</v>
      </c>
      <c r="D33" s="4" t="s">
        <v>76</v>
      </c>
      <c r="E33" s="4">
        <v>41.0</v>
      </c>
      <c r="F33" s="4" t="s">
        <v>13</v>
      </c>
      <c r="G33" s="4" t="s">
        <v>40</v>
      </c>
      <c r="H33" s="4" t="s">
        <v>77</v>
      </c>
      <c r="I33" s="5">
        <v>40692.0</v>
      </c>
    </row>
    <row r="34">
      <c r="A34" s="3">
        <v>40663.0</v>
      </c>
      <c r="B34" s="4" t="s">
        <v>46</v>
      </c>
      <c r="C34" s="4" t="s">
        <v>29</v>
      </c>
      <c r="D34" s="4" t="s">
        <v>63</v>
      </c>
      <c r="E34" s="4">
        <v>-100.0</v>
      </c>
      <c r="F34" s="4" t="s">
        <v>49</v>
      </c>
      <c r="G34" s="4" t="s">
        <v>14</v>
      </c>
      <c r="H34" s="4" t="s">
        <v>50</v>
      </c>
      <c r="I34" s="5">
        <v>40663.0</v>
      </c>
    </row>
    <row r="35">
      <c r="A35" s="3">
        <v>40663.0</v>
      </c>
      <c r="B35" s="4" t="s">
        <v>46</v>
      </c>
      <c r="C35" s="4" t="s">
        <v>29</v>
      </c>
      <c r="D35" s="4" t="s">
        <v>63</v>
      </c>
      <c r="E35" s="4">
        <v>100.0</v>
      </c>
      <c r="F35" s="4" t="s">
        <v>49</v>
      </c>
      <c r="G35" s="4" t="s">
        <v>40</v>
      </c>
      <c r="H35" s="4" t="s">
        <v>50</v>
      </c>
      <c r="I35" s="5">
        <v>40663.0</v>
      </c>
    </row>
    <row r="36">
      <c r="A36" s="3">
        <v>40664.0</v>
      </c>
      <c r="B36" s="4" t="s">
        <v>16</v>
      </c>
      <c r="C36" s="4" t="s">
        <v>78</v>
      </c>
      <c r="D36" s="4" t="s">
        <v>18</v>
      </c>
      <c r="E36" s="4">
        <v>179.0</v>
      </c>
      <c r="F36" s="4" t="s">
        <v>13</v>
      </c>
      <c r="G36" s="4" t="s">
        <v>14</v>
      </c>
      <c r="H36" s="4" t="s">
        <v>19</v>
      </c>
      <c r="I36" s="5">
        <v>40694.0</v>
      </c>
    </row>
    <row r="37">
      <c r="A37" s="3">
        <v>40664.0</v>
      </c>
      <c r="B37" s="4" t="s">
        <v>68</v>
      </c>
      <c r="C37" s="4" t="s">
        <v>34</v>
      </c>
      <c r="D37" s="4" t="s">
        <v>79</v>
      </c>
      <c r="E37" s="4">
        <v>220.0</v>
      </c>
      <c r="F37" s="4" t="s">
        <v>13</v>
      </c>
      <c r="G37" s="4" t="s">
        <v>14</v>
      </c>
      <c r="H37" s="4" t="s">
        <v>80</v>
      </c>
      <c r="I37" s="3">
        <v>40694.0</v>
      </c>
    </row>
    <row r="38">
      <c r="A38" s="3">
        <v>40668.0</v>
      </c>
      <c r="B38" s="4" t="s">
        <v>24</v>
      </c>
      <c r="C38" s="4" t="s">
        <v>55</v>
      </c>
      <c r="D38" s="4" t="s">
        <v>26</v>
      </c>
      <c r="E38" s="4">
        <v>340.0</v>
      </c>
      <c r="F38" s="4" t="s">
        <v>13</v>
      </c>
      <c r="G38" s="4" t="s">
        <v>14</v>
      </c>
      <c r="H38" s="4" t="s">
        <v>27</v>
      </c>
      <c r="I38" s="3">
        <v>40668.0</v>
      </c>
    </row>
    <row r="39">
      <c r="A39" s="3">
        <v>40670.0</v>
      </c>
      <c r="B39" s="4" t="s">
        <v>69</v>
      </c>
      <c r="C39" s="4" t="s">
        <v>81</v>
      </c>
      <c r="D39" s="4" t="s">
        <v>82</v>
      </c>
      <c r="E39" s="4">
        <v>563.0</v>
      </c>
      <c r="F39" s="4" t="s">
        <v>13</v>
      </c>
      <c r="G39" s="4" t="s">
        <v>14</v>
      </c>
      <c r="H39" s="4" t="s">
        <v>45</v>
      </c>
      <c r="I39" s="3">
        <v>40670.0</v>
      </c>
    </row>
    <row r="40">
      <c r="A40" s="3">
        <v>40670.0</v>
      </c>
      <c r="B40" s="4" t="s">
        <v>70</v>
      </c>
      <c r="C40" s="4" t="s">
        <v>34</v>
      </c>
      <c r="D40" s="4" t="s">
        <v>83</v>
      </c>
      <c r="E40" s="4">
        <v>982.0</v>
      </c>
      <c r="F40" s="4" t="s">
        <v>13</v>
      </c>
      <c r="G40" s="4" t="s">
        <v>14</v>
      </c>
      <c r="H40" s="4" t="s">
        <v>84</v>
      </c>
      <c r="I40" s="3">
        <v>40700.0</v>
      </c>
    </row>
    <row r="41">
      <c r="A41" s="3">
        <v>40678.0</v>
      </c>
      <c r="B41" s="4" t="s">
        <v>28</v>
      </c>
      <c r="C41" s="4" t="s">
        <v>29</v>
      </c>
      <c r="D41" s="4" t="s">
        <v>30</v>
      </c>
      <c r="E41" s="4">
        <v>80.0</v>
      </c>
      <c r="F41" s="4" t="s">
        <v>13</v>
      </c>
      <c r="G41" s="4" t="s">
        <v>14</v>
      </c>
      <c r="H41" s="4" t="s">
        <v>31</v>
      </c>
      <c r="I41" s="3">
        <v>40678.0</v>
      </c>
    </row>
    <row r="42">
      <c r="A42" s="3">
        <v>40678.0</v>
      </c>
      <c r="B42" s="4" t="s">
        <v>28</v>
      </c>
      <c r="C42" s="4" t="s">
        <v>29</v>
      </c>
      <c r="D42" s="4" t="s">
        <v>30</v>
      </c>
      <c r="E42" s="4">
        <v>35.0</v>
      </c>
      <c r="F42" s="4" t="s">
        <v>13</v>
      </c>
      <c r="G42" s="4" t="s">
        <v>32</v>
      </c>
      <c r="H42" s="4" t="s">
        <v>31</v>
      </c>
      <c r="I42" s="3">
        <v>40678.0</v>
      </c>
    </row>
    <row r="43">
      <c r="A43" s="3">
        <v>40678.0</v>
      </c>
      <c r="B43" s="4" t="s">
        <v>33</v>
      </c>
      <c r="C43" s="4" t="s">
        <v>34</v>
      </c>
      <c r="D43" s="4" t="s">
        <v>35</v>
      </c>
      <c r="E43" s="4">
        <v>1000.0</v>
      </c>
      <c r="F43" s="4" t="s">
        <v>13</v>
      </c>
      <c r="G43" s="4" t="s">
        <v>14</v>
      </c>
      <c r="H43" s="4" t="s">
        <v>36</v>
      </c>
      <c r="I43" s="3">
        <v>40696.0</v>
      </c>
    </row>
    <row r="44">
      <c r="A44" s="3">
        <v>40683.0</v>
      </c>
      <c r="B44" s="4" t="s">
        <v>46</v>
      </c>
      <c r="C44" s="4" t="s">
        <v>47</v>
      </c>
      <c r="D44" s="4" t="s">
        <v>48</v>
      </c>
      <c r="E44" s="4">
        <v>-20000.0</v>
      </c>
      <c r="F44" s="4" t="s">
        <v>49</v>
      </c>
      <c r="G44" s="4" t="s">
        <v>32</v>
      </c>
      <c r="H44" s="4" t="s">
        <v>50</v>
      </c>
      <c r="I44" s="3">
        <v>40683.0</v>
      </c>
    </row>
    <row r="45">
      <c r="A45" s="3">
        <v>40683.0</v>
      </c>
      <c r="B45" s="4" t="s">
        <v>46</v>
      </c>
      <c r="C45" s="4" t="s">
        <v>47</v>
      </c>
      <c r="D45" s="4" t="s">
        <v>48</v>
      </c>
      <c r="E45" s="4">
        <v>20000.0</v>
      </c>
      <c r="F45" s="4" t="s">
        <v>49</v>
      </c>
      <c r="G45" s="4" t="s">
        <v>14</v>
      </c>
      <c r="H45" s="4" t="s">
        <v>50</v>
      </c>
      <c r="I45" s="3">
        <v>40683.0</v>
      </c>
    </row>
    <row r="46">
      <c r="A46" s="3">
        <v>40689.0</v>
      </c>
      <c r="B46" s="4" t="s">
        <v>46</v>
      </c>
      <c r="C46" s="4" t="s">
        <v>51</v>
      </c>
      <c r="D46" s="4" t="s">
        <v>52</v>
      </c>
      <c r="E46" s="4">
        <v>23000.0</v>
      </c>
      <c r="F46" s="4" t="s">
        <v>49</v>
      </c>
      <c r="G46" s="4" t="s">
        <v>32</v>
      </c>
      <c r="H46" s="4" t="s">
        <v>53</v>
      </c>
      <c r="I46" s="3">
        <v>40689.0</v>
      </c>
    </row>
    <row r="47">
      <c r="A47" s="3">
        <v>40689.0</v>
      </c>
      <c r="B47" s="4" t="s">
        <v>54</v>
      </c>
      <c r="C47" s="4" t="s">
        <v>55</v>
      </c>
      <c r="D47" s="4" t="s">
        <v>56</v>
      </c>
      <c r="E47" s="4">
        <v>220.0</v>
      </c>
      <c r="F47" s="4" t="s">
        <v>49</v>
      </c>
      <c r="G47" s="4" t="s">
        <v>14</v>
      </c>
      <c r="H47" s="4" t="s">
        <v>57</v>
      </c>
      <c r="I47" s="3">
        <v>40689.0</v>
      </c>
    </row>
    <row r="48">
      <c r="A48" s="3">
        <v>40689.0</v>
      </c>
      <c r="B48" s="4" t="s">
        <v>54</v>
      </c>
      <c r="C48" s="4" t="s">
        <v>55</v>
      </c>
      <c r="D48" s="4" t="s">
        <v>58</v>
      </c>
      <c r="E48" s="4">
        <v>100.0</v>
      </c>
      <c r="F48" s="4" t="s">
        <v>49</v>
      </c>
      <c r="G48" s="4" t="s">
        <v>14</v>
      </c>
      <c r="H48" s="4" t="s">
        <v>59</v>
      </c>
      <c r="I48" s="3">
        <v>40689.0</v>
      </c>
    </row>
  </sheetData>
  <customSheetViews>
    <customSheetView guid="{76A6FCE7-F30A-4EFA-B0B3-609DE046BAE1}" filter="1" showAutoFilter="1">
      <autoFilter ref="$A$1:$I$48"/>
    </customSheetView>
  </customSheetView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row r="18"/>
    <row r="19"/>
  </sheetData>
  <drawing r:id="rId2"/>
  <extLst>
    <ext uri="{3A4CF648-6AED-40f4-86FF-DC5316D8AED3}">
      <x14:slicerList>
        <x14:slicer r:id="rId3"/>
      </x14:slicerList>
    </ext>
  </extLst>
</worksheet>
</file>