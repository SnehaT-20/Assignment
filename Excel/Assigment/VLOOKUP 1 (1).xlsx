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OOKUP 1 - Question" sheetId="1" r:id="rId4"/>
  </sheets>
  <definedNames/>
  <calcPr/>
  <extLst>
    <ext uri="GoogleSheetsCustomDataVersion2">
      <go:sheetsCustomData xmlns:go="http://customooxmlschemas.google.com/" r:id="rId5" roundtripDataChecksum="AMWxBnbYR1+/8pjrJhphxON5572XMllPInyDWt0RWqg="/>
    </ext>
  </extLst>
</workbook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<sst xmlns="http://schemas.openxmlformats.org/spreadsheetml/2006/main" count="41" uniqueCount="31">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</sst>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Alignment="1" applyBorder="1" applyFont="1">
      <alignment horizontal="left"/>
    </xf>
    <xf borderId="4" fillId="0" fontId="2" numFmtId="0" xfId="0" applyBorder="1" applyFont="1"/>
    <xf borderId="4" fillId="0" fontId="2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5" fillId="3" fontId="2" numFmtId="0" xfId="0" applyBorder="1" applyFill="1" applyFont="1"/>
    <xf borderId="1" fillId="0" fontId="1" numFmtId="0" xfId="0" applyBorder="1" applyFont="1"/>
    <xf borderId="6" fillId="0" fontId="1" numFmtId="0" xfId="0" applyBorder="1" applyFont="1"/>
    <xf borderId="7" fillId="3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6.43"/>
    <col customWidth="1" min="3" max="3" width="20.57"/>
    <col customWidth="1" min="4" max="6" width="14.43"/>
  </cols>
  <sheetData>
    <row r="1">
      <c r="A1" s="1"/>
      <c r="B1" s="1" t="s">
        <v>0</v>
      </c>
      <c r="F1" s="2"/>
      <c r="G1" s="2"/>
      <c r="H1" s="2"/>
      <c r="I1" s="2"/>
    </row>
    <row r="2">
      <c r="A2" s="1"/>
      <c r="B2" s="2"/>
      <c r="C2" s="2"/>
      <c r="D2" s="2"/>
      <c r="E2" s="2"/>
      <c r="F2" s="2"/>
      <c r="G2" s="2"/>
      <c r="H2" s="2"/>
      <c r="I2" s="2"/>
    </row>
    <row r="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>
      <c r="A4" s="1"/>
      <c r="B4" s="5">
        <v>56815.0</v>
      </c>
      <c r="C4" s="6" t="s">
        <v>6</v>
      </c>
      <c r="D4" s="6" t="s">
        <v>7</v>
      </c>
      <c r="E4" s="7">
        <v>13836.0</v>
      </c>
      <c r="F4" s="7">
        <v>25.0</v>
      </c>
      <c r="G4" s="2"/>
      <c r="H4" s="2"/>
      <c r="I4" s="2"/>
    </row>
    <row r="5">
      <c r="A5" s="1"/>
      <c r="B5" s="5">
        <v>51186.0</v>
      </c>
      <c r="C5" s="6" t="s">
        <v>8</v>
      </c>
      <c r="D5" s="6" t="s">
        <v>9</v>
      </c>
      <c r="E5" s="7">
        <v>11771.0</v>
      </c>
      <c r="F5" s="7">
        <v>32.0</v>
      </c>
      <c r="G5" s="2"/>
      <c r="H5" s="2"/>
      <c r="I5" s="2"/>
    </row>
    <row r="6">
      <c r="A6" s="1"/>
      <c r="B6" s="5">
        <v>51511.0</v>
      </c>
      <c r="C6" s="6" t="s">
        <v>10</v>
      </c>
      <c r="D6" s="6" t="s">
        <v>11</v>
      </c>
      <c r="E6" s="7">
        <v>13046.0</v>
      </c>
      <c r="F6" s="7">
        <v>35.0</v>
      </c>
      <c r="G6" s="2"/>
      <c r="H6" s="2"/>
      <c r="I6" s="2"/>
    </row>
    <row r="7">
      <c r="A7" s="1"/>
      <c r="B7" s="5">
        <v>50890.0</v>
      </c>
      <c r="C7" s="6" t="s">
        <v>12</v>
      </c>
      <c r="D7" s="6" t="s">
        <v>13</v>
      </c>
      <c r="E7" s="7">
        <v>18276.0</v>
      </c>
      <c r="F7" s="7">
        <v>32.0</v>
      </c>
      <c r="G7" s="2"/>
      <c r="H7" s="2"/>
      <c r="I7" s="2"/>
    </row>
    <row r="8">
      <c r="A8" s="1"/>
      <c r="B8" s="5">
        <v>53700.0</v>
      </c>
      <c r="C8" s="6" t="s">
        <v>14</v>
      </c>
      <c r="D8" s="6" t="s">
        <v>15</v>
      </c>
      <c r="E8" s="7">
        <v>19327.0</v>
      </c>
      <c r="F8" s="7">
        <v>26.0</v>
      </c>
      <c r="G8" s="2"/>
      <c r="H8" s="2"/>
      <c r="I8" s="2"/>
    </row>
    <row r="9">
      <c r="A9" s="1"/>
      <c r="B9" s="5">
        <v>55879.0</v>
      </c>
      <c r="C9" s="6" t="s">
        <v>16</v>
      </c>
      <c r="D9" s="6" t="s">
        <v>17</v>
      </c>
      <c r="E9" s="7">
        <v>18996.0</v>
      </c>
      <c r="F9" s="7">
        <v>35.0</v>
      </c>
      <c r="G9" s="2"/>
      <c r="H9" s="2"/>
      <c r="I9" s="2"/>
    </row>
    <row r="10">
      <c r="A10" s="1"/>
      <c r="B10" s="5">
        <v>59848.0</v>
      </c>
      <c r="C10" s="6" t="s">
        <v>18</v>
      </c>
      <c r="D10" s="6" t="s">
        <v>11</v>
      </c>
      <c r="E10" s="7">
        <v>10387.0</v>
      </c>
      <c r="F10" s="7">
        <v>25.0</v>
      </c>
      <c r="G10" s="2"/>
      <c r="H10" s="2"/>
      <c r="I10" s="2"/>
    </row>
    <row r="11">
      <c r="A11" s="1"/>
      <c r="B11" s="5">
        <v>58369.0</v>
      </c>
      <c r="C11" s="6" t="s">
        <v>19</v>
      </c>
      <c r="D11" s="6" t="s">
        <v>17</v>
      </c>
      <c r="E11" s="7">
        <v>12566.0</v>
      </c>
      <c r="F11" s="7">
        <v>37.0</v>
      </c>
      <c r="G11" s="2"/>
      <c r="H11" s="2"/>
      <c r="I11" s="2"/>
    </row>
    <row r="12">
      <c r="A12" s="1"/>
      <c r="B12" s="5">
        <v>50217.0</v>
      </c>
      <c r="C12" s="6" t="s">
        <v>20</v>
      </c>
      <c r="D12" s="6" t="s">
        <v>21</v>
      </c>
      <c r="E12" s="7">
        <v>16406.0</v>
      </c>
      <c r="F12" s="7">
        <v>42.0</v>
      </c>
      <c r="G12" s="2"/>
      <c r="H12" s="2"/>
      <c r="I12" s="2"/>
    </row>
    <row r="13">
      <c r="A13" s="1"/>
      <c r="B13" s="5">
        <v>50695.0</v>
      </c>
      <c r="C13" s="6" t="s">
        <v>22</v>
      </c>
      <c r="D13" s="6" t="s">
        <v>13</v>
      </c>
      <c r="E13" s="7">
        <v>15784.0</v>
      </c>
      <c r="F13" s="7">
        <v>43.0</v>
      </c>
      <c r="G13" s="2"/>
      <c r="H13" s="2"/>
      <c r="I13" s="2"/>
    </row>
    <row r="14">
      <c r="A14" s="1"/>
      <c r="B14" s="5">
        <v>59673.0</v>
      </c>
      <c r="C14" s="6" t="s">
        <v>23</v>
      </c>
      <c r="D14" s="6" t="s">
        <v>7</v>
      </c>
      <c r="E14" s="7">
        <v>10959.0</v>
      </c>
      <c r="F14" s="7">
        <v>30.0</v>
      </c>
      <c r="G14" s="2"/>
      <c r="H14" s="2"/>
      <c r="I14" s="2"/>
    </row>
    <row r="15">
      <c r="A15" s="1"/>
      <c r="B15" s="5">
        <v>52130.0</v>
      </c>
      <c r="C15" s="6" t="s">
        <v>24</v>
      </c>
      <c r="D15" s="6" t="s">
        <v>25</v>
      </c>
      <c r="E15" s="7">
        <v>14562.0</v>
      </c>
      <c r="F15" s="7">
        <v>32.0</v>
      </c>
      <c r="G15" s="2"/>
      <c r="H15" s="2"/>
      <c r="I15" s="2"/>
    </row>
    <row r="16">
      <c r="A16" s="1"/>
      <c r="B16" s="2"/>
      <c r="C16" s="2"/>
      <c r="D16" s="2"/>
      <c r="E16" s="2"/>
      <c r="F16" s="2"/>
      <c r="G16" s="2"/>
      <c r="H16" s="2"/>
      <c r="I16" s="2"/>
    </row>
    <row r="17">
      <c r="A17" s="8">
        <v>1.0</v>
      </c>
      <c r="B17" s="2" t="s">
        <v>26</v>
      </c>
      <c r="E17" s="9" t="str">
        <f>VLOOKUP(B11,B4:F15,2,FALSE)</f>
        <v>Thomas Davies</v>
      </c>
      <c r="F17" s="2"/>
      <c r="G17" s="2"/>
      <c r="H17" s="2"/>
      <c r="I17" s="2"/>
    </row>
    <row r="18">
      <c r="A18" s="1"/>
      <c r="B18" s="2"/>
      <c r="C18" s="2"/>
      <c r="D18" s="2"/>
      <c r="E18" s="2"/>
      <c r="F18" s="2"/>
      <c r="G18" s="2"/>
      <c r="H18" s="2"/>
      <c r="I18" s="2"/>
    </row>
    <row r="19">
      <c r="A19" s="8">
        <v>2.0</v>
      </c>
      <c r="B19" s="2" t="s">
        <v>27</v>
      </c>
      <c r="D19" s="2"/>
      <c r="E19" s="9">
        <f>VLOOKUP(C14,C4:F15,4,FALSE)</f>
        <v>30</v>
      </c>
      <c r="F19" s="2"/>
      <c r="G19" s="2"/>
      <c r="H19" s="2"/>
      <c r="I19" s="2"/>
    </row>
    <row r="20">
      <c r="A20" s="1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8">
        <v>3.0</v>
      </c>
      <c r="B21" s="2" t="s">
        <v>28</v>
      </c>
      <c r="E21" s="2"/>
      <c r="F21" s="2"/>
      <c r="G21" s="2"/>
      <c r="H21" s="2"/>
      <c r="I21" s="2"/>
    </row>
    <row r="22" ht="15.75" customHeight="1">
      <c r="A22" s="1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1"/>
      <c r="B23" s="10" t="s">
        <v>1</v>
      </c>
      <c r="C23" s="11" t="s">
        <v>3</v>
      </c>
      <c r="D23" s="2"/>
      <c r="E23" s="2"/>
      <c r="F23" s="2"/>
      <c r="G23" s="2"/>
      <c r="H23" s="2"/>
      <c r="I23" s="2"/>
    </row>
    <row r="24" ht="15.75" customHeight="1">
      <c r="A24" s="1"/>
      <c r="B24" s="5">
        <v>55879.0</v>
      </c>
      <c r="C24" s="12" t="str">
        <f>VLOOKUP(B24,B4:F15,3,FALSE)</f>
        <v>Capetown</v>
      </c>
      <c r="D24" s="2"/>
      <c r="E24" s="2"/>
      <c r="F24" s="2"/>
      <c r="G24" s="2"/>
      <c r="H24" s="2"/>
      <c r="I24" s="2"/>
    </row>
    <row r="25" ht="15.75" customHeight="1">
      <c r="A25" s="1"/>
      <c r="B25" s="5">
        <v>50217.0</v>
      </c>
      <c r="C25" s="12" t="str">
        <f>VLOOKUP(B25,B4:F15,3,FALSE)</f>
        <v>Warsaw</v>
      </c>
      <c r="D25" s="2"/>
      <c r="E25" s="2"/>
      <c r="F25" s="2"/>
      <c r="G25" s="2"/>
      <c r="H25" s="2"/>
      <c r="I25" s="2"/>
    </row>
    <row r="26" ht="15.75" customHeight="1">
      <c r="A26" s="1"/>
      <c r="B26" s="5">
        <v>50695.0</v>
      </c>
      <c r="C26" s="12" t="str">
        <f>VLOOKUP(B26,B4:F15,3,FALSE)</f>
        <v>Cairo</v>
      </c>
      <c r="D26" s="2"/>
      <c r="E26" s="2"/>
      <c r="F26" s="2"/>
      <c r="G26" s="2"/>
      <c r="H26" s="2"/>
      <c r="I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8">
        <v>4.0</v>
      </c>
      <c r="B28" s="2" t="s">
        <v>29</v>
      </c>
      <c r="E28" s="2"/>
      <c r="F28" s="2"/>
      <c r="G28" s="2"/>
      <c r="H28" s="2"/>
      <c r="I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1"/>
      <c r="B30" s="10" t="s">
        <v>2</v>
      </c>
      <c r="C30" s="11" t="s">
        <v>4</v>
      </c>
      <c r="D30" s="2"/>
      <c r="E30" s="2"/>
      <c r="F30" s="2"/>
      <c r="G30" s="2"/>
      <c r="H30" s="2"/>
      <c r="I30" s="2"/>
    </row>
    <row r="31" ht="15.75" customHeight="1">
      <c r="A31" s="1"/>
      <c r="B31" s="13" t="s">
        <v>12</v>
      </c>
      <c r="C31" s="12">
        <f>VLOOKUP(B31,C4:F15,3,FALSE)</f>
        <v>18276</v>
      </c>
      <c r="D31" s="2"/>
      <c r="E31" s="2"/>
      <c r="F31" s="2"/>
      <c r="G31" s="2"/>
      <c r="H31" s="2"/>
      <c r="I31" s="2"/>
    </row>
    <row r="32" ht="15.75" customHeight="1">
      <c r="A32" s="1"/>
      <c r="B32" s="13" t="s">
        <v>30</v>
      </c>
      <c r="C32" s="12">
        <f>VLOOKUP(B32,C4:F15,3,True)</f>
        <v>18276</v>
      </c>
      <c r="D32" s="2"/>
      <c r="E32" s="2"/>
      <c r="F32" s="2"/>
      <c r="G32" s="2"/>
      <c r="H32" s="2"/>
      <c r="I32" s="2"/>
    </row>
    <row r="33" ht="15.75" customHeight="1">
      <c r="A33" s="1"/>
      <c r="B33" s="13" t="s">
        <v>23</v>
      </c>
      <c r="C33" s="12">
        <f>VLOOKUP(B33, $C$4:$F$15, 3, FALSE)</f>
        <v>10959</v>
      </c>
      <c r="D33" s="2"/>
      <c r="E33" s="2"/>
      <c r="F33" s="2"/>
      <c r="G33" s="2"/>
      <c r="H33" s="2"/>
      <c r="I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1:D21"/>
    <mergeCell ref="B28:D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